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tmp/claude-501/-Users-janerikmeidell-Documents-Sites-Teaching-Web/3f779152-f407-4dde-9b79-e8a9e74afe6e/scratchpad/"/>
    </mc:Choice>
  </mc:AlternateContent>
  <xr:revisionPtr revIDLastSave="0" documentId="13_ncr:1_{9E0077FF-3322-DB40-89D3-FC4C91B2FECA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Cover" sheetId="1" r:id="rId1"/>
    <sheet name="Inputs" sheetId="2" r:id="rId2"/>
    <sheet name="Calc" sheetId="3" r:id="rId3"/>
    <sheet name="Check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4" l="1"/>
  <c r="F4" i="3"/>
  <c r="F5" i="2"/>
  <c r="G4" i="2"/>
  <c r="F5" i="3" l="1"/>
  <c r="F6" i="2"/>
  <c r="F6" i="3" s="1"/>
  <c r="G4" i="3"/>
  <c r="G5" i="2"/>
  <c r="H4" i="2"/>
  <c r="F8" i="3" l="1"/>
  <c r="F12" i="3"/>
  <c r="F20" i="3"/>
  <c r="F21" i="3" s="1"/>
  <c r="G6" i="2"/>
  <c r="G6" i="3" s="1"/>
  <c r="G5" i="3"/>
  <c r="H5" i="2"/>
  <c r="I4" i="2"/>
  <c r="C30" i="3"/>
  <c r="H4" i="3"/>
  <c r="C28" i="3"/>
  <c r="G20" i="3" l="1"/>
  <c r="G21" i="3" s="1"/>
  <c r="G12" i="3"/>
  <c r="G8" i="3"/>
  <c r="G16" i="3" s="1"/>
  <c r="G10" i="3"/>
  <c r="G17" i="3"/>
  <c r="H6" i="2"/>
  <c r="H6" i="3" s="1"/>
  <c r="H5" i="3"/>
  <c r="J4" i="2"/>
  <c r="I4" i="3"/>
  <c r="I5" i="2"/>
  <c r="F10" i="3"/>
  <c r="F16" i="3"/>
  <c r="F17" i="3"/>
  <c r="G9" i="3" l="1"/>
  <c r="G11" i="3"/>
  <c r="G13" i="3"/>
  <c r="H20" i="3"/>
  <c r="H21" i="3"/>
  <c r="H12" i="3"/>
  <c r="H8" i="3"/>
  <c r="K4" i="2"/>
  <c r="J4" i="3"/>
  <c r="J5" i="2"/>
  <c r="I6" i="2"/>
  <c r="I6" i="3" s="1"/>
  <c r="I5" i="3"/>
  <c r="F13" i="3"/>
  <c r="F11" i="3"/>
  <c r="G14" i="3" l="1"/>
  <c r="G15" i="3"/>
  <c r="G18" i="3" s="1"/>
  <c r="G22" i="3" s="1"/>
  <c r="K4" i="3"/>
  <c r="C5" i="4" s="1"/>
  <c r="K5" i="2"/>
  <c r="J6" i="2"/>
  <c r="J6" i="3" s="1"/>
  <c r="J5" i="3"/>
  <c r="I20" i="3"/>
  <c r="I21" i="3" s="1"/>
  <c r="I12" i="3"/>
  <c r="I8" i="3"/>
  <c r="I10" i="3" s="1"/>
  <c r="F14" i="3"/>
  <c r="F15" i="3" s="1"/>
  <c r="F18" i="3" s="1"/>
  <c r="F22" i="3" s="1"/>
  <c r="H9" i="3"/>
  <c r="C7" i="4"/>
  <c r="H16" i="3"/>
  <c r="H17" i="3"/>
  <c r="H10" i="3"/>
  <c r="C6" i="4" l="1"/>
  <c r="K6" i="2"/>
  <c r="K6" i="3" s="1"/>
  <c r="K5" i="3"/>
  <c r="J20" i="3"/>
  <c r="J21" i="3" s="1"/>
  <c r="J12" i="3"/>
  <c r="J8" i="3"/>
  <c r="I11" i="3"/>
  <c r="I13" i="3"/>
  <c r="H13" i="3"/>
  <c r="H11" i="3"/>
  <c r="C8" i="4"/>
  <c r="I9" i="3"/>
  <c r="I16" i="3"/>
  <c r="I17" i="3"/>
  <c r="K20" i="3" l="1"/>
  <c r="K21" i="3"/>
  <c r="K12" i="3"/>
  <c r="K8" i="3"/>
  <c r="K10" i="3"/>
  <c r="I14" i="3"/>
  <c r="I15" i="3"/>
  <c r="I18" i="3" s="1"/>
  <c r="I22" i="3" s="1"/>
  <c r="H14" i="3"/>
  <c r="H15" i="3"/>
  <c r="H18" i="3" s="1"/>
  <c r="H22" i="3" s="1"/>
  <c r="J9" i="3"/>
  <c r="J16" i="3"/>
  <c r="J17" i="3"/>
  <c r="J10" i="3"/>
  <c r="K11" i="3" l="1"/>
  <c r="K13" i="3"/>
  <c r="J13" i="3"/>
  <c r="J11" i="3"/>
  <c r="K9" i="3"/>
  <c r="K16" i="3"/>
  <c r="K17" i="3"/>
  <c r="K14" i="3" l="1"/>
  <c r="K15" i="3"/>
  <c r="K18" i="3" s="1"/>
  <c r="J14" i="3"/>
  <c r="J15" i="3" s="1"/>
  <c r="J18" i="3" s="1"/>
  <c r="J22" i="3" s="1"/>
  <c r="K22" i="3" l="1"/>
  <c r="C26" i="3" s="1"/>
  <c r="C10" i="4" s="1"/>
  <c r="C12" i="4" s="1"/>
  <c r="C11" i="1" s="1"/>
  <c r="C24" i="3"/>
  <c r="C25" i="3" s="1"/>
  <c r="C27" i="3" l="1"/>
  <c r="C29" i="3" s="1"/>
  <c r="C13" i="1"/>
  <c r="C31" i="3" l="1"/>
  <c r="C15" i="1" s="1"/>
  <c r="C14" i="1"/>
</calcChain>
</file>

<file path=xl/sharedStrings.xml><?xml version="1.0" encoding="utf-8"?>
<sst xmlns="http://schemas.openxmlformats.org/spreadsheetml/2006/main" count="107" uniqueCount="59">
  <si>
    <t>Meridia Cold SL · valuation model</t>
  </si>
  <si>
    <t>Version</t>
  </si>
  <si>
    <t>v01 · reference (end of Session 1)</t>
  </si>
  <si>
    <t>Colour convention</t>
  </si>
  <si>
    <t>Blue · typed input</t>
  </si>
  <si>
    <t>Black · formula</t>
  </si>
  <si>
    <t>Green · link to another sheet</t>
  </si>
  <si>
    <t>Red · external link or warning</t>
  </si>
  <si>
    <t>Sign convention: costs and investments are shown as positive numbers; formulas subtract them.</t>
  </si>
  <si>
    <t>Model check</t>
  </si>
  <si>
    <t>Enterprise value</t>
  </si>
  <si>
    <t>€m</t>
  </si>
  <si>
    <t>Equity value</t>
  </si>
  <si>
    <t>Value per share</t>
  </si>
  <si>
    <t>€ per share</t>
  </si>
  <si>
    <t>Inputs · every typed number lives here</t>
  </si>
  <si>
    <t>Last actual year</t>
  </si>
  <si>
    <t>Year</t>
  </si>
  <si>
    <t>Actual flag</t>
  </si>
  <si>
    <t>Forecast flag</t>
  </si>
  <si>
    <t>Revenue</t>
  </si>
  <si>
    <t>EBITDA</t>
  </si>
  <si>
    <t>D&amp;A</t>
  </si>
  <si>
    <t>Capex</t>
  </si>
  <si>
    <t>Increase in NWC</t>
  </si>
  <si>
    <t>Net debt</t>
  </si>
  <si>
    <t>Shares</t>
  </si>
  <si>
    <t>m</t>
  </si>
  <si>
    <t>Tax rate</t>
  </si>
  <si>
    <t>%</t>
  </si>
  <si>
    <t>Revenue growth</t>
  </si>
  <si>
    <t>EBITDA margin</t>
  </si>
  <si>
    <t>D&amp;A growth</t>
  </si>
  <si>
    <t>Capex, % of revenue</t>
  </si>
  <si>
    <t>NWC, % of the revenue increase</t>
  </si>
  <si>
    <t>WACC</t>
  </si>
  <si>
    <t>Terminal growth</t>
  </si>
  <si>
    <t>Calc · formulas only</t>
  </si>
  <si>
    <t>EBIT</t>
  </si>
  <si>
    <t>Tax</t>
  </si>
  <si>
    <t>NOPAT</t>
  </si>
  <si>
    <t>Free cash flow</t>
  </si>
  <si>
    <t>Discount period</t>
  </si>
  <si>
    <t>years</t>
  </si>
  <si>
    <t>Discount factor</t>
  </si>
  <si>
    <t>x</t>
  </si>
  <si>
    <t>PV of FCF</t>
  </si>
  <si>
    <t>Terminal value</t>
  </si>
  <si>
    <t>PV of terminal value</t>
  </si>
  <si>
    <t>Sum of PV of FCF</t>
  </si>
  <si>
    <t>Net debt at the valuation date</t>
  </si>
  <si>
    <t>Checks · every check is a difference that must be 0</t>
  </si>
  <si>
    <t>Timeline linked</t>
  </si>
  <si>
    <t>Three actual periods</t>
  </si>
  <si>
    <t>Revenue actuals carried over</t>
  </si>
  <si>
    <t>EBITDA actuals carried over</t>
  </si>
  <si>
    <t>WACC above terminal growth</t>
  </si>
  <si>
    <t>PV computed two ways</t>
  </si>
  <si>
    <t>Master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</si>
</sst>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0.0000"/>
    <numFmt numFmtId="167" formatCode="0.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</font>
    <font>
      <sz val="11"/>
      <color rgb="FF0000FF"/>
      <name val="Calibri"/>
    </font>
    <font>
      <sz val="11"/>
      <color rgb="FF008000"/>
      <name val="Calibri"/>
    </font>
    <font>
      <b/>
      <sz val="14"/>
      <name val="Calibri"/>
    </font>
    <font>
      <sz val="11"/>
      <color rgb="FFC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0" borderId="0" xfId="0" applyFont="1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2" fontId="4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2" fontId="2" fillId="0" borderId="0" xfId="0" applyNumberFormat="1" applyFont="1"/>
    <xf numFmtId="2" fontId="2" fillId="2" borderId="0" xfId="0" applyNumberFormat="1" applyFont="1" applyFill="1"/>
    <xf numFmtId="165" fontId="2" fillId="0" borderId="0" xfId="0" applyNumberFormat="1" applyFont="1"/>
    <xf numFmtId="165" fontId="2" fillId="2" borderId="0" xfId="0" applyNumberFormat="1" applyFont="1" applyFill="1"/>
    <xf numFmtId="1" fontId="2" fillId="0" borderId="0" xfId="0" applyNumberFormat="1" applyFont="1"/>
    <xf numFmtId="1" fontId="2" fillId="2" borderId="0" xfId="0" applyNumberFormat="1" applyFont="1" applyFill="1"/>
    <xf numFmtId="166" fontId="2" fillId="0" borderId="0" xfId="0" applyNumberFormat="1" applyFont="1"/>
    <xf numFmtId="166" fontId="2" fillId="2" borderId="0" xfId="0" applyNumberFormat="1" applyFont="1" applyFill="1"/>
    <xf numFmtId="167" fontId="2" fillId="0" borderId="0" xfId="0" applyNumberFormat="1" applyFont="1"/>
  </cellXfs>
  <cellStyles count="1">
    <cellStyle name="Normal" xfId="0" builtinId="0"/>
  </cellStyles>
  <dxfs count="2">
    <dxf>
      <fill>
        <patternFill patternType="solid">
          <fgColor rgb="FFF8C9C9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/>
  </sheetViews>
  <sheetFormatPr baseColWidth="10" defaultColWidth="8.83203125" defaultRowHeight="15" x14ac:dyDescent="0.2"/>
  <cols>
    <col min="1" max="1" width="30" customWidth="1"/>
    <col min="3" max="3" width="26" customWidth="1"/>
  </cols>
  <sheetData>
    <row r="1" spans="1:4" ht="19" x14ac:dyDescent="0.25">
      <c r="A1" s="1" t="s">
        <v>0</v>
      </c>
    </row>
    <row r="2" spans="1:4" x14ac:dyDescent="0.2">
      <c r="A2" s="2" t="s">
        <v>1</v>
      </c>
      <c r="C2" s="2" t="s">
        <v>2</v>
      </c>
    </row>
    <row r="4" spans="1:4" x14ac:dyDescent="0.2">
      <c r="A4" s="3" t="s">
        <v>3</v>
      </c>
    </row>
    <row r="5" spans="1:4" x14ac:dyDescent="0.2">
      <c r="A5" s="4" t="s">
        <v>4</v>
      </c>
    </row>
    <row r="6" spans="1:4" x14ac:dyDescent="0.2">
      <c r="A6" s="2" t="s">
        <v>5</v>
      </c>
    </row>
    <row r="7" spans="1:4" x14ac:dyDescent="0.2">
      <c r="A7" s="5" t="s">
        <v>6</v>
      </c>
    </row>
    <row r="8" spans="1:4" x14ac:dyDescent="0.2">
      <c r="A8" s="6" t="s">
        <v>7</v>
      </c>
    </row>
    <row r="9" spans="1:4" x14ac:dyDescent="0.2">
      <c r="A9" s="2" t="s">
        <v>8</v>
      </c>
    </row>
    <row r="11" spans="1:4" x14ac:dyDescent="0.2">
      <c r="A11" s="3" t="s">
        <v>9</v>
      </c>
      <c r="C11" s="5" t="str">
        <f>IF(Checks!C12=0,"OK","ERROR")</f>
        <v>OK</v>
      </c>
    </row>
    <row r="13" spans="1:4" x14ac:dyDescent="0.2">
      <c r="A13" s="2" t="s">
        <v>10</v>
      </c>
      <c r="C13" s="7">
        <f>Calc!C27</f>
        <v>159.3583903632161</v>
      </c>
      <c r="D13" s="2" t="s">
        <v>11</v>
      </c>
    </row>
    <row r="14" spans="1:4" x14ac:dyDescent="0.2">
      <c r="A14" s="2" t="s">
        <v>12</v>
      </c>
      <c r="C14" s="7">
        <f>Calc!C29</f>
        <v>99.358390363216103</v>
      </c>
      <c r="D14" s="2" t="s">
        <v>11</v>
      </c>
    </row>
    <row r="15" spans="1:4" x14ac:dyDescent="0.2">
      <c r="A15" s="2" t="s">
        <v>13</v>
      </c>
      <c r="C15" s="7">
        <f>Calc!C31</f>
        <v>2.4839597590804026</v>
      </c>
      <c r="D15" s="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workbookViewId="0">
      <pane xSplit="5" ySplit="6" topLeftCell="F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4" customWidth="1"/>
  </cols>
  <sheetData>
    <row r="1" spans="1:11" x14ac:dyDescent="0.2">
      <c r="A1" s="3" t="s">
        <v>15</v>
      </c>
    </row>
    <row r="2" spans="1:11" x14ac:dyDescent="0.2">
      <c r="A2" s="2" t="s">
        <v>16</v>
      </c>
      <c r="C2" s="4">
        <v>2025</v>
      </c>
    </row>
    <row r="4" spans="1:11" x14ac:dyDescent="0.2">
      <c r="A4" s="2" t="s">
        <v>17</v>
      </c>
      <c r="F4" s="4">
        <v>2023</v>
      </c>
      <c r="G4" s="2">
        <f>F4+1</f>
        <v>2024</v>
      </c>
      <c r="H4" s="2">
        <f>G4+1</f>
        <v>2025</v>
      </c>
      <c r="I4" s="2">
        <f>H4+1</f>
        <v>2026</v>
      </c>
      <c r="J4" s="2">
        <f>I4+1</f>
        <v>2027</v>
      </c>
      <c r="K4" s="2">
        <f>J4+1</f>
        <v>2028</v>
      </c>
    </row>
    <row r="5" spans="1:11" x14ac:dyDescent="0.2">
      <c r="A5" s="2" t="s">
        <v>18</v>
      </c>
      <c r="F5" s="2">
        <f t="shared" ref="F5:K5" si="0">IF(F4&lt;=$C$2,1,0)</f>
        <v>1</v>
      </c>
      <c r="G5" s="2">
        <f t="shared" si="0"/>
        <v>1</v>
      </c>
      <c r="H5" s="2">
        <f t="shared" si="0"/>
        <v>1</v>
      </c>
      <c r="I5" s="2">
        <f t="shared" si="0"/>
        <v>0</v>
      </c>
      <c r="J5" s="2">
        <f t="shared" si="0"/>
        <v>0</v>
      </c>
      <c r="K5" s="2">
        <f t="shared" si="0"/>
        <v>0</v>
      </c>
    </row>
    <row r="6" spans="1:11" x14ac:dyDescent="0.2">
      <c r="A6" s="2" t="s">
        <v>19</v>
      </c>
      <c r="F6" s="2">
        <f t="shared" ref="F6:K6" si="1">1-F5</f>
        <v>0</v>
      </c>
      <c r="G6" s="2">
        <f t="shared" si="1"/>
        <v>0</v>
      </c>
      <c r="H6" s="2">
        <f t="shared" si="1"/>
        <v>0</v>
      </c>
      <c r="I6" s="2">
        <f t="shared" si="1"/>
        <v>1</v>
      </c>
      <c r="J6" s="2">
        <f t="shared" si="1"/>
        <v>1</v>
      </c>
      <c r="K6" s="2">
        <f t="shared" si="1"/>
        <v>1</v>
      </c>
    </row>
    <row r="8" spans="1:11" x14ac:dyDescent="0.2">
      <c r="A8" s="2" t="s">
        <v>20</v>
      </c>
      <c r="B8" s="2" t="s">
        <v>11</v>
      </c>
      <c r="F8" s="8">
        <v>160.19999999999999</v>
      </c>
      <c r="G8" s="8">
        <v>171</v>
      </c>
      <c r="H8" s="8">
        <v>180.4</v>
      </c>
    </row>
    <row r="9" spans="1:11" x14ac:dyDescent="0.2">
      <c r="A9" s="2" t="s">
        <v>21</v>
      </c>
      <c r="B9" s="2" t="s">
        <v>11</v>
      </c>
      <c r="F9" s="8">
        <v>23.2</v>
      </c>
      <c r="G9" s="8">
        <v>26.2</v>
      </c>
      <c r="H9" s="8">
        <v>29</v>
      </c>
    </row>
    <row r="10" spans="1:11" x14ac:dyDescent="0.2">
      <c r="A10" s="2" t="s">
        <v>22</v>
      </c>
      <c r="B10" s="2" t="s">
        <v>11</v>
      </c>
      <c r="F10" s="8">
        <v>9.6</v>
      </c>
      <c r="G10" s="8">
        <v>10.1</v>
      </c>
      <c r="H10" s="8">
        <v>10.6</v>
      </c>
    </row>
    <row r="11" spans="1:11" x14ac:dyDescent="0.2">
      <c r="A11" s="2" t="s">
        <v>23</v>
      </c>
      <c r="B11" s="2" t="s">
        <v>11</v>
      </c>
      <c r="F11" s="8">
        <v>12</v>
      </c>
      <c r="G11" s="8">
        <v>13.5</v>
      </c>
      <c r="H11" s="8">
        <v>14.2</v>
      </c>
    </row>
    <row r="12" spans="1:11" x14ac:dyDescent="0.2">
      <c r="A12" s="2" t="s">
        <v>24</v>
      </c>
      <c r="B12" s="2" t="s">
        <v>11</v>
      </c>
      <c r="F12" s="8">
        <v>1.2</v>
      </c>
      <c r="G12" s="8">
        <v>1.4</v>
      </c>
      <c r="H12" s="8">
        <v>1.1000000000000001</v>
      </c>
    </row>
    <row r="13" spans="1:11" x14ac:dyDescent="0.2">
      <c r="A13" s="2" t="s">
        <v>25</v>
      </c>
      <c r="B13" s="2" t="s">
        <v>11</v>
      </c>
      <c r="F13" s="8">
        <v>62</v>
      </c>
      <c r="G13" s="8">
        <v>60.5</v>
      </c>
      <c r="H13" s="8">
        <v>60</v>
      </c>
    </row>
    <row r="14" spans="1:11" x14ac:dyDescent="0.2">
      <c r="A14" s="2" t="s">
        <v>26</v>
      </c>
      <c r="B14" s="2" t="s">
        <v>27</v>
      </c>
      <c r="F14" s="8">
        <v>40</v>
      </c>
      <c r="G14" s="8">
        <v>40</v>
      </c>
      <c r="H14" s="8">
        <v>40</v>
      </c>
    </row>
    <row r="16" spans="1:11" x14ac:dyDescent="0.2">
      <c r="A16" s="2" t="s">
        <v>28</v>
      </c>
      <c r="B16" s="2" t="s">
        <v>29</v>
      </c>
      <c r="C16" s="9">
        <v>0.24</v>
      </c>
    </row>
    <row r="18" spans="1:3" x14ac:dyDescent="0.2">
      <c r="A18" s="2" t="s">
        <v>30</v>
      </c>
      <c r="B18" s="2" t="s">
        <v>29</v>
      </c>
      <c r="C18" s="9">
        <v>6.7000000000000004E-2</v>
      </c>
    </row>
    <row r="19" spans="1:3" x14ac:dyDescent="0.2">
      <c r="A19" s="2" t="s">
        <v>31</v>
      </c>
      <c r="B19" s="2" t="s">
        <v>29</v>
      </c>
      <c r="C19" s="9">
        <v>0.161</v>
      </c>
    </row>
    <row r="20" spans="1:3" x14ac:dyDescent="0.2">
      <c r="A20" s="2" t="s">
        <v>32</v>
      </c>
      <c r="B20" s="2" t="s">
        <v>29</v>
      </c>
      <c r="C20" s="9">
        <v>0.05</v>
      </c>
    </row>
    <row r="21" spans="1:3" x14ac:dyDescent="0.2">
      <c r="A21" s="2" t="s">
        <v>33</v>
      </c>
      <c r="B21" s="2" t="s">
        <v>29</v>
      </c>
      <c r="C21" s="9">
        <v>0.08</v>
      </c>
    </row>
    <row r="22" spans="1:3" x14ac:dyDescent="0.2">
      <c r="A22" s="2" t="s">
        <v>34</v>
      </c>
      <c r="B22" s="2" t="s">
        <v>29</v>
      </c>
      <c r="C22" s="9">
        <v>0.1</v>
      </c>
    </row>
    <row r="24" spans="1:3" x14ac:dyDescent="0.2">
      <c r="A24" s="2" t="s">
        <v>35</v>
      </c>
      <c r="B24" s="2" t="s">
        <v>29</v>
      </c>
      <c r="C24" s="9">
        <v>8.5000000000000006E-2</v>
      </c>
    </row>
    <row r="25" spans="1:3" x14ac:dyDescent="0.2">
      <c r="A25" s="2" t="s">
        <v>36</v>
      </c>
      <c r="B25" s="2" t="s">
        <v>29</v>
      </c>
      <c r="C25" s="9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1"/>
  <sheetViews>
    <sheetView workbookViewId="0">
      <pane xSplit="5" ySplit="6" topLeftCell="F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4" customWidth="1"/>
  </cols>
  <sheetData>
    <row r="1" spans="1:11" x14ac:dyDescent="0.2">
      <c r="A1" s="3" t="s">
        <v>37</v>
      </c>
    </row>
    <row r="4" spans="1:11" x14ac:dyDescent="0.2">
      <c r="A4" s="2" t="s">
        <v>17</v>
      </c>
      <c r="F4" s="5">
        <f>Inputs!F4</f>
        <v>2023</v>
      </c>
      <c r="G4" s="5">
        <f>Inputs!G4</f>
        <v>2024</v>
      </c>
      <c r="H4" s="5">
        <f>Inputs!H4</f>
        <v>2025</v>
      </c>
      <c r="I4" s="5">
        <f>Inputs!I4</f>
        <v>2026</v>
      </c>
      <c r="J4" s="5">
        <f>Inputs!J4</f>
        <v>2027</v>
      </c>
      <c r="K4" s="5">
        <f>Inputs!K4</f>
        <v>2028</v>
      </c>
    </row>
    <row r="5" spans="1:11" x14ac:dyDescent="0.2">
      <c r="A5" s="2" t="s">
        <v>18</v>
      </c>
      <c r="F5" s="5">
        <f>Inputs!F5</f>
        <v>1</v>
      </c>
      <c r="G5" s="5">
        <f>Inputs!G5</f>
        <v>1</v>
      </c>
      <c r="H5" s="5">
        <f>Inputs!H5</f>
        <v>1</v>
      </c>
      <c r="I5" s="5">
        <f>Inputs!I5</f>
        <v>0</v>
      </c>
      <c r="J5" s="5">
        <f>Inputs!J5</f>
        <v>0</v>
      </c>
      <c r="K5" s="5">
        <f>Inputs!K5</f>
        <v>0</v>
      </c>
    </row>
    <row r="6" spans="1:11" x14ac:dyDescent="0.2">
      <c r="A6" s="2" t="s">
        <v>19</v>
      </c>
      <c r="F6" s="5">
        <f>Inputs!F6</f>
        <v>0</v>
      </c>
      <c r="G6" s="5">
        <f>Inputs!G6</f>
        <v>0</v>
      </c>
      <c r="H6" s="5">
        <f>Inputs!H6</f>
        <v>0</v>
      </c>
      <c r="I6" s="5">
        <f>Inputs!I6</f>
        <v>1</v>
      </c>
      <c r="J6" s="5">
        <f>Inputs!J6</f>
        <v>1</v>
      </c>
      <c r="K6" s="5">
        <f>Inputs!K6</f>
        <v>1</v>
      </c>
    </row>
    <row r="8" spans="1:11" x14ac:dyDescent="0.2">
      <c r="A8" s="2" t="s">
        <v>20</v>
      </c>
      <c r="B8" s="2" t="s">
        <v>11</v>
      </c>
      <c r="F8" s="10">
        <f>F$5*Inputs!F8+F$6*E8*(1+Inputs!$C$18)</f>
        <v>160.19999999999999</v>
      </c>
      <c r="G8" s="10">
        <f>G$5*Inputs!G8+G$6*F8*(1+Inputs!$C$18)</f>
        <v>171</v>
      </c>
      <c r="H8" s="10">
        <f>H$5*Inputs!H8+H$6*G8*(1+Inputs!$C$18)</f>
        <v>180.4</v>
      </c>
      <c r="I8" s="11">
        <f>I$5*Inputs!I8+I$6*H8*(1+Inputs!$C$18)</f>
        <v>192.48679999999999</v>
      </c>
      <c r="J8" s="11">
        <f>J$5*Inputs!J8+J$6*I8*(1+Inputs!$C$18)</f>
        <v>205.38341559999998</v>
      </c>
      <c r="K8" s="11">
        <f>K$5*Inputs!K8+K$6*J8*(1+Inputs!$C$18)</f>
        <v>219.14410444519996</v>
      </c>
    </row>
    <row r="9" spans="1:11" x14ac:dyDescent="0.2">
      <c r="A9" s="2" t="s">
        <v>30</v>
      </c>
      <c r="B9" s="2" t="s">
        <v>29</v>
      </c>
      <c r="G9" s="12">
        <f>G8/F8-1</f>
        <v>6.7415730337078816E-2</v>
      </c>
      <c r="H9" s="12">
        <f>H8/G8-1</f>
        <v>5.4970760233918226E-2</v>
      </c>
      <c r="I9" s="12">
        <f>I8/H8-1</f>
        <v>6.6999999999999948E-2</v>
      </c>
      <c r="J9" s="12">
        <f>J8/I8-1</f>
        <v>6.6999999999999948E-2</v>
      </c>
      <c r="K9" s="12">
        <f>K8/J8-1</f>
        <v>6.6999999999999948E-2</v>
      </c>
    </row>
    <row r="10" spans="1:11" x14ac:dyDescent="0.2">
      <c r="A10" s="2" t="s">
        <v>21</v>
      </c>
      <c r="B10" s="2" t="s">
        <v>11</v>
      </c>
      <c r="F10" s="10">
        <f>F$5*Inputs!F9+F$6*F8*Inputs!$C$19</f>
        <v>23.2</v>
      </c>
      <c r="G10" s="10">
        <f>G$5*Inputs!G9+G$6*G8*Inputs!$C$19</f>
        <v>26.2</v>
      </c>
      <c r="H10" s="10">
        <f>H$5*Inputs!H9+H$6*H8*Inputs!$C$19</f>
        <v>29</v>
      </c>
      <c r="I10" s="11">
        <f>I$5*Inputs!I9+I$6*I8*Inputs!$C$19</f>
        <v>30.990374799999998</v>
      </c>
      <c r="J10" s="11">
        <f>J$5*Inputs!J9+J$6*J8*Inputs!$C$19</f>
        <v>33.0667299116</v>
      </c>
      <c r="K10" s="11">
        <f>K$5*Inputs!K9+K$6*K8*Inputs!$C$19</f>
        <v>35.282200815677193</v>
      </c>
    </row>
    <row r="11" spans="1:11" x14ac:dyDescent="0.2">
      <c r="A11" s="2" t="s">
        <v>31</v>
      </c>
      <c r="B11" s="2" t="s">
        <v>29</v>
      </c>
      <c r="F11" s="12">
        <f t="shared" ref="F11:K11" si="0">F10/F8</f>
        <v>0.14481897627965043</v>
      </c>
      <c r="G11" s="12">
        <f t="shared" si="0"/>
        <v>0.15321637426900583</v>
      </c>
      <c r="H11" s="12">
        <f t="shared" si="0"/>
        <v>0.16075388026607537</v>
      </c>
      <c r="I11" s="13">
        <f t="shared" si="0"/>
        <v>0.161</v>
      </c>
      <c r="J11" s="13">
        <f t="shared" si="0"/>
        <v>0.161</v>
      </c>
      <c r="K11" s="13">
        <f t="shared" si="0"/>
        <v>0.161</v>
      </c>
    </row>
    <row r="12" spans="1:11" x14ac:dyDescent="0.2">
      <c r="A12" s="2" t="s">
        <v>22</v>
      </c>
      <c r="B12" s="2" t="s">
        <v>11</v>
      </c>
      <c r="F12" s="10">
        <f>F$5*Inputs!F10+F$6*E12*(1+Inputs!$C$20)</f>
        <v>9.6</v>
      </c>
      <c r="G12" s="10">
        <f>G$5*Inputs!G10+G$6*F12*(1+Inputs!$C$20)</f>
        <v>10.1</v>
      </c>
      <c r="H12" s="10">
        <f>H$5*Inputs!H10+H$6*G12*(1+Inputs!$C$20)</f>
        <v>10.6</v>
      </c>
      <c r="I12" s="11">
        <f>I$5*Inputs!I10+I$6*H12*(1+Inputs!$C$20)</f>
        <v>11.13</v>
      </c>
      <c r="J12" s="11">
        <f>J$5*Inputs!J10+J$6*I12*(1+Inputs!$C$20)</f>
        <v>11.686500000000001</v>
      </c>
      <c r="K12" s="11">
        <f>K$5*Inputs!K10+K$6*J12*(1+Inputs!$C$20)</f>
        <v>12.270825</v>
      </c>
    </row>
    <row r="13" spans="1:11" x14ac:dyDescent="0.2">
      <c r="A13" s="2" t="s">
        <v>38</v>
      </c>
      <c r="B13" s="2" t="s">
        <v>11</v>
      </c>
      <c r="F13" s="10">
        <f t="shared" ref="F13:K13" si="1">F10-F12</f>
        <v>13.6</v>
      </c>
      <c r="G13" s="10">
        <f t="shared" si="1"/>
        <v>16.100000000000001</v>
      </c>
      <c r="H13" s="10">
        <f t="shared" si="1"/>
        <v>18.399999999999999</v>
      </c>
      <c r="I13" s="11">
        <f t="shared" si="1"/>
        <v>19.860374799999995</v>
      </c>
      <c r="J13" s="11">
        <f t="shared" si="1"/>
        <v>21.380229911599997</v>
      </c>
      <c r="K13" s="11">
        <f t="shared" si="1"/>
        <v>23.011375815677191</v>
      </c>
    </row>
    <row r="14" spans="1:11" x14ac:dyDescent="0.2">
      <c r="A14" s="2" t="s">
        <v>39</v>
      </c>
      <c r="B14" s="2" t="s">
        <v>11</v>
      </c>
      <c r="F14" s="10">
        <f>F13*Inputs!$C$16</f>
        <v>3.2639999999999998</v>
      </c>
      <c r="G14" s="10">
        <f>G13*Inputs!$C$16</f>
        <v>3.8640000000000003</v>
      </c>
      <c r="H14" s="10">
        <f>H13*Inputs!$C$16</f>
        <v>4.4159999999999995</v>
      </c>
      <c r="I14" s="11">
        <f>I13*Inputs!$C$16</f>
        <v>4.7664899519999988</v>
      </c>
      <c r="J14" s="11">
        <f>J13*Inputs!$C$16</f>
        <v>5.1312551787839995</v>
      </c>
      <c r="K14" s="11">
        <f>K13*Inputs!$C$16</f>
        <v>5.5227301957625254</v>
      </c>
    </row>
    <row r="15" spans="1:11" x14ac:dyDescent="0.2">
      <c r="A15" s="2" t="s">
        <v>40</v>
      </c>
      <c r="B15" s="2" t="s">
        <v>11</v>
      </c>
      <c r="F15" s="10">
        <f t="shared" ref="F15:K15" si="2">F13-F14</f>
        <v>10.336</v>
      </c>
      <c r="G15" s="10">
        <f t="shared" si="2"/>
        <v>12.236000000000001</v>
      </c>
      <c r="H15" s="10">
        <f t="shared" si="2"/>
        <v>13.983999999999998</v>
      </c>
      <c r="I15" s="11">
        <f t="shared" si="2"/>
        <v>15.093884847999997</v>
      </c>
      <c r="J15" s="11">
        <f t="shared" si="2"/>
        <v>16.248974732815999</v>
      </c>
      <c r="K15" s="11">
        <f t="shared" si="2"/>
        <v>17.488645619914664</v>
      </c>
    </row>
    <row r="16" spans="1:11" x14ac:dyDescent="0.2">
      <c r="A16" s="2" t="s">
        <v>23</v>
      </c>
      <c r="B16" s="2" t="s">
        <v>11</v>
      </c>
      <c r="F16" s="10">
        <f>F$5*Inputs!F11+F$6*F8*Inputs!$C$21</f>
        <v>12</v>
      </c>
      <c r="G16" s="10">
        <f>G$5*Inputs!G11+G$6*G8*Inputs!$C$21</f>
        <v>13.5</v>
      </c>
      <c r="H16" s="10">
        <f>H$5*Inputs!H11+H$6*H8*Inputs!$C$21</f>
        <v>14.2</v>
      </c>
      <c r="I16" s="11">
        <f>I$5*Inputs!I11+I$6*I8*Inputs!$C$21</f>
        <v>15.398944</v>
      </c>
      <c r="J16" s="11">
        <f>J$5*Inputs!J11+J$6*J8*Inputs!$C$21</f>
        <v>16.430673247999998</v>
      </c>
      <c r="K16" s="11">
        <f>K$5*Inputs!K11+K$6*K8*Inputs!$C$21</f>
        <v>17.531528355615997</v>
      </c>
    </row>
    <row r="17" spans="1:11" x14ac:dyDescent="0.2">
      <c r="A17" s="2" t="s">
        <v>24</v>
      </c>
      <c r="B17" s="2" t="s">
        <v>11</v>
      </c>
      <c r="F17" s="10">
        <f>F$5*Inputs!F12+F$6*(F8-E8)*Inputs!$C$22</f>
        <v>1.2</v>
      </c>
      <c r="G17" s="10">
        <f>G$5*Inputs!G12+G$6*(G8-F8)*Inputs!$C$22</f>
        <v>1.4</v>
      </c>
      <c r="H17" s="10">
        <f>H$5*Inputs!H12+H$6*(H8-G8)*Inputs!$C$22</f>
        <v>1.1000000000000001</v>
      </c>
      <c r="I17" s="11">
        <f>I$5*Inputs!I12+I$6*(I8-H8)*Inputs!$C$22</f>
        <v>1.2086799999999984</v>
      </c>
      <c r="J17" s="11">
        <f>J$5*Inputs!J12+J$6*(J8-I8)*Inputs!$C$22</f>
        <v>1.289661559999999</v>
      </c>
      <c r="K17" s="11">
        <f>K$5*Inputs!K12+K$6*(K8-J8)*Inputs!$C$22</f>
        <v>1.376068884519998</v>
      </c>
    </row>
    <row r="18" spans="1:11" x14ac:dyDescent="0.2">
      <c r="A18" s="2" t="s">
        <v>41</v>
      </c>
      <c r="B18" s="2" t="s">
        <v>11</v>
      </c>
      <c r="F18" s="10">
        <f t="shared" ref="F18:K18" si="3">F15+F12-F16-F17</f>
        <v>6.7359999999999998</v>
      </c>
      <c r="G18" s="10">
        <f t="shared" si="3"/>
        <v>7.4359999999999982</v>
      </c>
      <c r="H18" s="10">
        <f t="shared" si="3"/>
        <v>9.2839999999999971</v>
      </c>
      <c r="I18" s="11">
        <f t="shared" si="3"/>
        <v>9.6162608479999996</v>
      </c>
      <c r="J18" s="11">
        <f t="shared" si="3"/>
        <v>10.215139924816</v>
      </c>
      <c r="K18" s="11">
        <f t="shared" si="3"/>
        <v>10.85187337977867</v>
      </c>
    </row>
    <row r="20" spans="1:11" x14ac:dyDescent="0.2">
      <c r="A20" s="2" t="s">
        <v>42</v>
      </c>
      <c r="B20" s="2" t="s">
        <v>43</v>
      </c>
      <c r="F20" s="14">
        <f>F$6*(F4-Inputs!$C$2)</f>
        <v>0</v>
      </c>
      <c r="G20" s="14">
        <f>G$6*(G4-Inputs!$C$2)</f>
        <v>0</v>
      </c>
      <c r="H20" s="14">
        <f>H$6*(H4-Inputs!$C$2)</f>
        <v>0</v>
      </c>
      <c r="I20" s="15">
        <f>I$6*(I4-Inputs!$C$2)</f>
        <v>1</v>
      </c>
      <c r="J20" s="15">
        <f>J$6*(J4-Inputs!$C$2)</f>
        <v>2</v>
      </c>
      <c r="K20" s="15">
        <f>K$6*(K4-Inputs!$C$2)</f>
        <v>3</v>
      </c>
    </row>
    <row r="21" spans="1:11" x14ac:dyDescent="0.2">
      <c r="A21" s="2" t="s">
        <v>44</v>
      </c>
      <c r="B21" s="2" t="s">
        <v>45</v>
      </c>
      <c r="F21" s="16">
        <f>F$6/(1+Inputs!$C$24)^F20</f>
        <v>0</v>
      </c>
      <c r="G21" s="16">
        <f>G$6/(1+Inputs!$C$24)^G20</f>
        <v>0</v>
      </c>
      <c r="H21" s="16">
        <f>H$6/(1+Inputs!$C$24)^H20</f>
        <v>0</v>
      </c>
      <c r="I21" s="17">
        <f>I$6/(1+Inputs!$C$24)^I20</f>
        <v>0.92165898617511521</v>
      </c>
      <c r="J21" s="17">
        <f>J$6/(1+Inputs!$C$24)^J20</f>
        <v>0.84945528679734128</v>
      </c>
      <c r="K21" s="17">
        <f>K$6/(1+Inputs!$C$24)^K20</f>
        <v>0.78290809843072917</v>
      </c>
    </row>
    <row r="22" spans="1:11" x14ac:dyDescent="0.2">
      <c r="A22" s="2" t="s">
        <v>46</v>
      </c>
      <c r="B22" s="2" t="s">
        <v>11</v>
      </c>
      <c r="F22" s="10">
        <f t="shared" ref="F22:K22" si="4">F18*F21</f>
        <v>0</v>
      </c>
      <c r="G22" s="10">
        <f t="shared" si="4"/>
        <v>0</v>
      </c>
      <c r="H22" s="10">
        <f t="shared" si="4"/>
        <v>0</v>
      </c>
      <c r="I22" s="11">
        <f t="shared" si="4"/>
        <v>8.8629132239631332</v>
      </c>
      <c r="J22" s="11">
        <f t="shared" si="4"/>
        <v>8.6773046145095467</v>
      </c>
      <c r="K22" s="11">
        <f t="shared" si="4"/>
        <v>8.4960195521735695</v>
      </c>
    </row>
    <row r="24" spans="1:11" x14ac:dyDescent="0.2">
      <c r="A24" s="2" t="s">
        <v>47</v>
      </c>
      <c r="B24" s="2" t="s">
        <v>11</v>
      </c>
      <c r="C24" s="7">
        <f>K18*(1+Inputs!$C$25)/(Inputs!$C$24-Inputs!$C$25)</f>
        <v>170.2909361134499</v>
      </c>
    </row>
    <row r="25" spans="1:11" x14ac:dyDescent="0.2">
      <c r="A25" s="2" t="s">
        <v>48</v>
      </c>
      <c r="B25" s="2" t="s">
        <v>11</v>
      </c>
      <c r="C25" s="10">
        <f>C24*K21</f>
        <v>133.32215297256985</v>
      </c>
    </row>
    <row r="26" spans="1:11" x14ac:dyDescent="0.2">
      <c r="A26" s="2" t="s">
        <v>49</v>
      </c>
      <c r="B26" s="2" t="s">
        <v>11</v>
      </c>
      <c r="C26" s="10">
        <f>SUM(F22:K22)</f>
        <v>26.036237390646249</v>
      </c>
    </row>
    <row r="27" spans="1:11" x14ac:dyDescent="0.2">
      <c r="A27" s="2" t="s">
        <v>10</v>
      </c>
      <c r="B27" s="2" t="s">
        <v>11</v>
      </c>
      <c r="C27" s="10">
        <f>C25+C26</f>
        <v>159.3583903632161</v>
      </c>
    </row>
    <row r="28" spans="1:11" x14ac:dyDescent="0.2">
      <c r="A28" s="2" t="s">
        <v>50</v>
      </c>
      <c r="B28" s="2" t="s">
        <v>11</v>
      </c>
      <c r="C28" s="7">
        <f>INDEX(Inputs!F13:K13,MATCH(Inputs!$C$2,Inputs!F4:K4,0))</f>
        <v>60</v>
      </c>
    </row>
    <row r="29" spans="1:11" x14ac:dyDescent="0.2">
      <c r="A29" s="2" t="s">
        <v>12</v>
      </c>
      <c r="B29" s="2" t="s">
        <v>11</v>
      </c>
      <c r="C29" s="10">
        <f>C27-C28</f>
        <v>99.358390363216103</v>
      </c>
    </row>
    <row r="30" spans="1:11" x14ac:dyDescent="0.2">
      <c r="A30" s="2" t="s">
        <v>26</v>
      </c>
      <c r="B30" s="2" t="s">
        <v>27</v>
      </c>
      <c r="C30" s="7">
        <f>INDEX(Inputs!F14:K14,MATCH(Inputs!$C$2,Inputs!F4:K4,0))</f>
        <v>40</v>
      </c>
    </row>
    <row r="31" spans="1:11" x14ac:dyDescent="0.2">
      <c r="A31" s="2" t="s">
        <v>13</v>
      </c>
      <c r="B31" s="2" t="s">
        <v>14</v>
      </c>
      <c r="C31" s="10">
        <f>C29/C30</f>
        <v>2.4839597590804026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/>
  </sheetViews>
  <sheetFormatPr baseColWidth="10" defaultColWidth="8.83203125" defaultRowHeight="15" x14ac:dyDescent="0.2"/>
  <cols>
    <col min="1" max="1" width="46" customWidth="1"/>
  </cols>
  <sheetData>
    <row r="1" spans="1:3" x14ac:dyDescent="0.2">
      <c r="A1" s="3" t="s">
        <v>51</v>
      </c>
    </row>
    <row r="5" spans="1:3" x14ac:dyDescent="0.2">
      <c r="A5" s="2" t="s">
        <v>52</v>
      </c>
      <c r="C5" s="18">
        <f>SUMPRODUCT(ABS(Calc!F4:K4-Inputs!F4:K4))</f>
        <v>0</v>
      </c>
    </row>
    <row r="6" spans="1:3" x14ac:dyDescent="0.2">
      <c r="A6" s="2" t="s">
        <v>53</v>
      </c>
      <c r="C6" s="18">
        <f>ABS(SUM(Inputs!F5:K5)-3)</f>
        <v>0</v>
      </c>
    </row>
    <row r="7" spans="1:3" x14ac:dyDescent="0.2">
      <c r="A7" s="2" t="s">
        <v>54</v>
      </c>
      <c r="C7" s="18">
        <f>SUMPRODUCT(ABS(Calc!F8:H8-Inputs!F8:H8))</f>
        <v>0</v>
      </c>
    </row>
    <row r="8" spans="1:3" x14ac:dyDescent="0.2">
      <c r="A8" s="2" t="s">
        <v>55</v>
      </c>
      <c r="C8" s="18">
        <f>SUMPRODUCT(ABS(Calc!F10:H10-Inputs!F9:H9))</f>
        <v>0</v>
      </c>
    </row>
    <row r="9" spans="1:3" x14ac:dyDescent="0.2">
      <c r="A9" s="2" t="s">
        <v>56</v>
      </c>
      <c r="C9" s="18">
        <f>IF(Inputs!C24&gt;Inputs!C25,0,1)</f>
        <v>0</v>
      </c>
    </row>
    <row r="10" spans="1:3" x14ac:dyDescent="0.2">
      <c r="A10" s="2" t="s">
        <v>57</v>
      </c>
      <c r="C10" s="18">
        <f>ABS(Calc!C26-SUMPRODUCT(Calc!F18:K18,Calc!F21:K21))</f>
        <v>0</v>
      </c>
    </row>
    <row r="12" spans="1:3" x14ac:dyDescent="0.2">
      <c r="A12" s="3" t="s">
        <v>58</v>
      </c>
      <c r="C12" s="3">
        <f>IF(MAX(C5:C10)&lt;0.001,0,1)</f>
        <v>0</v>
      </c>
    </row>
  </sheetData>
  <conditionalFormatting sqref="C12">
    <cfRule type="cellIs" dxfId="1" priority="1" operator="equal">
      <formula>0</formula>
    </cfRule>
    <cfRule type="cellIs" dxfId="0" priority="2" operator="notEqual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Inputs</vt:lpstr>
      <vt:lpstr>Calc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Erik Meidell</cp:lastModifiedBy>
  <dcterms:created xsi:type="dcterms:W3CDTF">2026-10-26T18:51:01Z</dcterms:created>
  <dcterms:modified xsi:type="dcterms:W3CDTF">2026-10-26T18:51:19Z</dcterms:modified>
</cp:coreProperties>
</file>