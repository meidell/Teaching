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5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6" customWidth="1" min="10" max="10"/>
    <col width="9" customWidth="1" min="11" max="11"/>
  </cols>
  <sheetData>
    <row r="1">
      <c r="A1" s="1" t="inlineStr">
        <is>
          <t>Meridia Cold SL – Valuation model v7 FINAL (2)</t>
        </is>
      </c>
    </row>
    <row r="2">
      <c r="A2" t="inlineStr">
        <is>
          <t>all figures €m unless stated · prepared for Boreal Logistics data room · DO NOT DISTRIBUTE</t>
        </is>
      </c>
    </row>
    <row r="3">
      <c r="A3" s="2" t="n"/>
      <c r="B3" s="2" t="inlineStr">
        <is>
          <t>€m</t>
        </is>
      </c>
      <c r="C3" s="2" t="inlineStr">
        <is>
          <t>FY2023A</t>
        </is>
      </c>
      <c r="D3" s="2" t="inlineStr">
        <is>
          <t>FY2024A</t>
        </is>
      </c>
      <c r="E3" s="2" t="inlineStr">
        <is>
          <t>FY2025A</t>
        </is>
      </c>
      <c r="F3" s="2" t="inlineStr">
        <is>
          <t>FY2026E</t>
        </is>
      </c>
      <c r="G3" s="2" t="inlineStr">
        <is>
          <t>FY2027E</t>
        </is>
      </c>
      <c r="H3" s="2" t="inlineStr">
        <is>
          <t>FY2028E</t>
        </is>
      </c>
    </row>
    <row r="5">
      <c r="A5" t="inlineStr">
        <is>
          <t>Revenue</t>
        </is>
      </c>
      <c r="C5" s="3" t="n">
        <v>160.2</v>
      </c>
      <c r="D5" s="3" t="n">
        <v>171</v>
      </c>
      <c r="E5" s="4" t="inlineStr">
        <is>
          <t>180.4</t>
        </is>
      </c>
      <c r="F5" s="3">
        <f>E5*1.067</f>
        <v/>
      </c>
      <c r="G5" s="3">
        <f>F5*1.067</f>
        <v/>
      </c>
      <c r="H5" s="3">
        <f>G5*(1+$K$8)</f>
        <v/>
      </c>
    </row>
    <row r="6">
      <c r="A6" t="inlineStr">
        <is>
          <t xml:space="preserve">  growth</t>
        </is>
      </c>
      <c r="D6" s="5">
        <f>D5/C5-1</f>
        <v/>
      </c>
      <c r="E6" s="5">
        <f>E5/D5-1</f>
        <v/>
      </c>
      <c r="F6" s="5">
        <f>F5/E5-1</f>
        <v/>
      </c>
      <c r="G6" s="5">
        <f>G5/F5-1</f>
        <v/>
      </c>
      <c r="H6" s="5">
        <f>H5/G5-1</f>
        <v/>
      </c>
    </row>
    <row r="7">
      <c r="A7" t="inlineStr">
        <is>
          <t>EBITDA</t>
        </is>
      </c>
      <c r="C7" s="3" t="n">
        <v>23.2</v>
      </c>
      <c r="D7" s="3" t="n">
        <v>26.2</v>
      </c>
      <c r="E7" s="3" t="n">
        <v>29</v>
      </c>
      <c r="F7" s="3">
        <f>F5*0.161</f>
        <v/>
      </c>
      <c r="G7" s="3">
        <f>G5*K9</f>
        <v/>
      </c>
      <c r="H7" s="3">
        <f>H5*0.17</f>
        <v/>
      </c>
      <c r="J7" s="6" t="inlineStr">
        <is>
          <t>Assumptions</t>
        </is>
      </c>
    </row>
    <row r="8">
      <c r="A8" t="inlineStr">
        <is>
          <t>D&amp;A</t>
        </is>
      </c>
      <c r="C8" s="3" t="n">
        <v>9.6</v>
      </c>
      <c r="D8" s="3" t="n">
        <v>10.1</v>
      </c>
      <c r="E8" s="3" t="n">
        <v>10.6</v>
      </c>
      <c r="F8" s="3">
        <f>E8*1.05</f>
        <v/>
      </c>
      <c r="G8" s="3">
        <f>F8*1.05</f>
        <v/>
      </c>
      <c r="H8" s="3">
        <f>G8*1.05</f>
        <v/>
      </c>
      <c r="J8" t="inlineStr">
        <is>
          <t>Revenue growth</t>
        </is>
      </c>
      <c r="K8" s="5" t="n">
        <v>0.067</v>
      </c>
    </row>
    <row r="9">
      <c r="A9" t="inlineStr">
        <is>
          <t>EBIT</t>
        </is>
      </c>
      <c r="C9" s="3">
        <f>C7-C8</f>
        <v/>
      </c>
      <c r="D9" s="3">
        <f>D7-D8</f>
        <v/>
      </c>
      <c r="E9" s="3">
        <f>E7-E8</f>
        <v/>
      </c>
      <c r="F9" s="3">
        <f>F7-F8</f>
        <v/>
      </c>
      <c r="G9" s="3">
        <f>G7-G8</f>
        <v/>
      </c>
      <c r="H9" s="3">
        <f>H7-H8</f>
        <v/>
      </c>
      <c r="J9" t="inlineStr">
        <is>
          <t>EBITDA margin</t>
        </is>
      </c>
      <c r="K9" s="5" t="n">
        <v>0.161</v>
      </c>
    </row>
    <row r="10">
      <c r="A10" t="inlineStr">
        <is>
          <t>Tax</t>
        </is>
      </c>
      <c r="C10" s="3">
        <f>C9*0.25</f>
        <v/>
      </c>
      <c r="D10" s="3">
        <f>D9*0.25</f>
        <v/>
      </c>
      <c r="E10" s="3">
        <f>E9*$K$10</f>
        <v/>
      </c>
      <c r="F10" s="3">
        <f>F9*0.25</f>
        <v/>
      </c>
      <c r="G10" s="3">
        <f>G9*K10</f>
        <v/>
      </c>
      <c r="H10" s="3">
        <f>H9*0.25</f>
        <v/>
      </c>
      <c r="J10" t="inlineStr">
        <is>
          <t>Tax rate</t>
        </is>
      </c>
      <c r="K10" s="5" t="n">
        <v>0.24</v>
      </c>
    </row>
    <row r="11">
      <c r="A11" t="inlineStr">
        <is>
          <t>NOPAT</t>
        </is>
      </c>
      <c r="C11" s="3">
        <f>C9-C10</f>
        <v/>
      </c>
      <c r="D11" s="3">
        <f>D9-D10</f>
        <v/>
      </c>
      <c r="E11" s="3">
        <f>E9-E10</f>
        <v/>
      </c>
      <c r="F11" s="3">
        <f>F9-F10</f>
        <v/>
      </c>
      <c r="G11" s="3">
        <f>G9-G10</f>
        <v/>
      </c>
      <c r="H11" s="3">
        <f>H9-H10</f>
        <v/>
      </c>
    </row>
    <row r="12">
      <c r="A12" t="inlineStr">
        <is>
          <t>Capex</t>
        </is>
      </c>
      <c r="C12" s="3" t="n">
        <v>12</v>
      </c>
      <c r="D12" s="3" t="n">
        <v>13.5</v>
      </c>
      <c r="E12" s="3" t="n">
        <v>14.2</v>
      </c>
      <c r="F12" s="3">
        <f>F5*0.08</f>
        <v/>
      </c>
      <c r="G12" s="3">
        <f>G5*0.08</f>
        <v/>
      </c>
      <c r="H12" s="3">
        <f>G12</f>
        <v/>
      </c>
    </row>
    <row r="13">
      <c r="A13" t="inlineStr">
        <is>
          <t>Change in NWC</t>
        </is>
      </c>
      <c r="C13" s="3" t="n">
        <v>1.2</v>
      </c>
      <c r="D13" s="3" t="n">
        <v>1.4</v>
      </c>
      <c r="E13" s="3" t="n">
        <v>1.1</v>
      </c>
      <c r="F13" s="3">
        <f>(F5-E5)*0.1</f>
        <v/>
      </c>
      <c r="G13" s="3">
        <f>(G5-F5)*0.1</f>
        <v/>
      </c>
      <c r="H13" s="3">
        <f>(H5-G5)*0.1</f>
        <v/>
      </c>
    </row>
    <row r="14">
      <c r="A14" t="inlineStr">
        <is>
          <t>Free cash flow</t>
        </is>
      </c>
      <c r="C14" s="3">
        <f>C11+C8-C12-C13</f>
        <v/>
      </c>
      <c r="D14" s="3">
        <f>D11+D8-D12-D13</f>
        <v/>
      </c>
      <c r="E14" s="3">
        <f>E11+E8-E12-E13</f>
        <v/>
      </c>
      <c r="F14" s="3">
        <f>F11+F8+F12-F13</f>
        <v/>
      </c>
      <c r="G14" s="3">
        <f>G11+G8-G12-G13</f>
        <v/>
      </c>
      <c r="H14" s="3">
        <f>H11+H8-H12-H13+H15</f>
        <v/>
      </c>
    </row>
    <row r="15" hidden="1">
      <c r="A15" t="inlineStr">
        <is>
          <t>adj.</t>
        </is>
      </c>
      <c r="H15" s="3" t="n">
        <v>2.5</v>
      </c>
    </row>
    <row r="16"/>
    <row r="17">
      <c r="A17" t="inlineStr">
        <is>
          <t>Sum of historical revenue FY23–25</t>
        </is>
      </c>
      <c r="C17" s="3">
        <f>SUM(C5:E5)</f>
        <v/>
      </c>
    </row>
    <row r="18"/>
    <row r="19">
      <c r="A19" t="inlineStr">
        <is>
          <t>WACC</t>
        </is>
      </c>
      <c r="C19" s="5" t="n">
        <v>0.08500000000000001</v>
      </c>
      <c r="D19" s="3" t="inlineStr">
        <is>
          <t>9% per CFO email 12/9 — use this</t>
        </is>
      </c>
    </row>
    <row r="20">
      <c r="A20" t="inlineStr">
        <is>
          <t>Terminal growth</t>
        </is>
      </c>
      <c r="C20" s="5" t="n">
        <v>0.02</v>
      </c>
    </row>
    <row r="21"/>
    <row r="22">
      <c r="A22" t="inlineStr">
        <is>
          <t>PV of FCF</t>
        </is>
      </c>
      <c r="F22" s="3">
        <f>F14/(1+0.09)^1</f>
        <v/>
      </c>
      <c r="G22" s="3">
        <f>G14/(1+0.09)^2</f>
        <v/>
      </c>
      <c r="H22" s="3">
        <f>H14/(1+0.09)^2</f>
        <v/>
      </c>
    </row>
    <row r="23">
      <c r="A23" t="inlineStr">
        <is>
          <t>Terminal value (FY2028)</t>
        </is>
      </c>
      <c r="H23" s="3">
        <f>H14*(1+C20)/(C19-C20)</f>
        <v/>
      </c>
    </row>
    <row r="24">
      <c r="A24" t="inlineStr">
        <is>
          <t>PV of terminal value</t>
        </is>
      </c>
      <c r="H24" s="3">
        <f>H23/(1+0.09)^3</f>
        <v/>
      </c>
    </row>
    <row r="25">
      <c r="A25" t="inlineStr">
        <is>
          <t>Enterprise value</t>
        </is>
      </c>
      <c r="C25" s="7">
        <f>SUM(F22:H22)+H24</f>
        <v/>
      </c>
    </row>
    <row r="26">
      <c r="A26" t="inlineStr">
        <is>
          <t>Net debt</t>
        </is>
      </c>
      <c r="C26" s="3" t="n">
        <v>57</v>
      </c>
    </row>
    <row r="27">
      <c r="A27" t="inlineStr">
        <is>
          <t>Equity value</t>
        </is>
      </c>
      <c r="C27" s="7">
        <f>C25-C26</f>
        <v/>
      </c>
    </row>
    <row r="28">
      <c r="A28" t="inlineStr">
        <is>
          <t>Shares outstanding (000)</t>
        </is>
      </c>
      <c r="C28" s="3" t="n">
        <v>40000</v>
      </c>
    </row>
    <row r="29">
      <c r="A29" t="inlineStr">
        <is>
          <t>Value per share (€)</t>
        </is>
      </c>
      <c r="C29" s="8">
        <f>C27/C28</f>
        <v/>
      </c>
    </row>
    <row r="31">
      <c r="A31" t="inlineStr">
        <is>
          <t>Tax 25% (see email); growth per budget; margin per mgmt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6" t="inlineStr">
        <is>
          <t>Notes from management meeting 3/9</t>
        </is>
      </c>
    </row>
    <row r="3">
      <c r="A3" t="inlineStr">
        <is>
          <t>Net debt at FY2025 close</t>
        </is>
      </c>
      <c r="B3" t="n">
        <v>60</v>
      </c>
      <c r="C3" t="inlineStr">
        <is>
          <t>€m (bank statement 31/12)</t>
        </is>
      </c>
    </row>
    <row r="4">
      <c r="A4" t="inlineStr">
        <is>
          <t>Warehouses</t>
        </is>
      </c>
      <c r="B4" t="n">
        <v>14</v>
      </c>
    </row>
    <row r="5">
      <c r="A5" t="inlineStr">
        <is>
          <t>Revenue growth FY26 plan</t>
        </is>
      </c>
      <c r="B5" s="5" t="n">
        <v>0.055</v>
      </c>
      <c r="C5" t="inlineStr">
        <is>
          <t>(model uses 6.7% — budget version?)</t>
        </is>
      </c>
    </row>
    <row r="6">
      <c r="A6" t="inlineStr">
        <is>
          <t>Tax rate</t>
        </is>
      </c>
      <c r="B6" s="9" t="n">
        <v>0.25</v>
      </c>
    </row>
    <row r="8">
      <c r="A8" t="inlineStr">
        <is>
          <t>TODO: add check row</t>
        </is>
      </c>
    </row>
    <row r="9">
      <c r="A9" t="inlineStr">
        <is>
          <t>TODO: unhide adj row before sending??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2026-10-22T05:59:51Z</dcterms:created>
  <dcterms:modified xsi:type="dcterms:W3CDTF">2026-10-22T05:59:51Z</dcterms:modified>
</cp:coreProperties>
</file>